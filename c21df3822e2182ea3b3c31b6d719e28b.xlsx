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!--
  workbook.xml — Defines the list of sheets.
  To add a new sheet:
    1. Add a <sheet> element below with a unique sheetId and r:id
    2. Add a matching <Relationship> in xl/_rels/workbook.xml.rels
    3. Add an <Override> in [Content_Types].xml
    4. Create the xl/worksheets/sheetN.xml file
  Sheet name rules:
    - Max 31 characters
    - Cannot contain: / \ ? * [ ] :
    - Ampersand must be escaped as &amp; in XML
-->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!-- Add more <sheet> elements here for multi-sheet workbooks -->
    <sheet name="Sheet1" sheetId="1" r:id="rId1"/>
  </sheets>
  <!-- calcId ensures Excel recalculates formulas on open -->
  <calcPr calcId="191029"/>
</workbook>
</file>

<file path=xl/sharedStrings.xml><?xml version="1.0" encoding="utf-8"?>
<sst xmlns="http://schemas.openxmlformats.org/spreadsheetml/2006/main" count="20" uniqueCount="20">
  <si>
    <t>FERAL GLOSS EMPIRE™ Commercial Dashboard</t>
  </si>
  <si>
    <t>Raw Sales Ledger</t>
  </si>
  <si>
    <t>Transaction ID</t>
  </si>
  <si>
    <t>Date</t>
  </si>
  <si>
    <t>SB_ID</t>
  </si>
  <si>
    <t>Template ID</t>
  </si>
  <si>
    <t>Amount</t>
  </si>
  <si>
    <t>Platform</t>
  </si>
  <si>
    <t>Character Performance</t>
  </si>
  <si>
    <t>SB-306</t>
  </si>
  <si>
    <t>LIORA_VOSS</t>
  </si>
  <si>
    <t>Material Performance</t>
  </si>
  <si>
    <t>Obsidian Neural Crystal™</t>
  </si>
  <si>
    <t>Void Kintsugi Onyx™</t>
  </si>
  <si>
    <t>Revenue</t>
  </si>
  <si>
    <t>KPIs &amp; Benchmarks</t>
  </si>
  <si>
    <t>Conversion Rate</t>
  </si>
  <si>
    <t>Total Sales</t>
  </si>
  <si>
    <t>Target</t>
  </si>
  <si>
    <t>Status</t>
  </si>
</sst>
</file>

<file path=xl/styles.xml><?xml version="1.0" encoding="utf-8"?>
<!--
  styles.xml — The complete style system for this workbook.
  Style index (cellXfs) lookup table:
  ┌───────┬─────────────────────────────────┬────────────────┬───────────────────┐
  │ Index │ Semantic Role                   │ Font Color     │ Number Format     │
  ├───────┼─────────────────────────────────┼────────────────┼───────────────────┤
  │   0   │ Default                         │ Theme (black)  │ General           │
  │   1   │ Input / Assumption              │ Blue 000000FF  │ General           │
  │   2   │ Formula / Computed result       │ Black 00000000 │ General           │
  │   3   │ Cross-sheet reference           │ Green 00008000 │ General           │
  │   4   │ Header (bold)                   │ Black bold     │ General           │
  │   5   │ Currency input                  │ Blue 000000FF  │ $#,##0 (id=164)   │
  │   6   │ Currency formula                │ Black          │ $#,##0 (id=164)   │
  │   7   │ Percentage input                │ Blue 000000FF  │ 0.0% (id=165)     │
  │   8   │ Percentage formula              │ Black          │ 0.0% (id=165)     │
  │   9   │ Integer with commas input       │ Blue 000000FF  │ #,##0 (id=167)    │
  │  10   │ Integer with commas formula     │ Black          │ #,##0 (id=167)    │
  │  11   │ Year (no comma) — input         │ Blue 000000FF  │ 0 (id=1)          │
  │  12   │ Key assumption (yellow bg)      │ Blue 000000FF  │ General + yellow  │
  └───────┴─────────────────────────────────┴────────────────┴───────────────────┘
  To add a new style:
  1. If needed, add a <numFmt> to <numFmts> with a new numFmtId >= 164 (increment max)
  2. If needed, add a <font> to <fonts>
  3. If needed, add a <fill> to <fills>
  4. Append a new <xf> to <cellXfs>, combining fontId + fillId + numFmtId
  5. Update the count attributes on <numFmts>, <fonts>, <fills>, <cellXfs>
  6. The new xf's index = (old cellXfs count) — use this as the s attribute on cells
  CRITICAL RULES:
  - fills[0] and fills[1] are REQUIRED BY SPEC — never remove them
  - Do NOT modify existing <xf> entries — only append new ones
  - AARRGGBB color format: first 2 hex digits = Alpha (00 = opaque)
-->
<styleSheet xmlns="http://schemas.openxmlformats.org/spreadsheetml/2006/main">
  <!-- ── Number Formats ─────────────────────────────────────────────────── -->
  <!-- Built-in IDs 0-163 need NOT be declared here. Custom formats: 164+  -->
  <numFmts count="4">
    <!-- 164: Standard currency — positive $1,234 / negative ($1,234) / zero - -->
    <numFmt numFmtId="164" formatCode="$#,##0;($#,##0);&quot;-&quot;"/>
    <!-- 165: Percentage with 1 decimal place -->
    <numFmt numFmtId="165" formatCode="0.0%"/>
    <!-- 166: Multiplier / ratio (e.g. 8.5x for EV/EBITDA) -->
    <numFmt numFmtId="166" formatCode="0.0x"/>
    <!-- 167: Integer with thousands separator, no decimals -->
    <numFmt numFmtId="167" formatCode="#,##0"/>
  </numFmts>
  <!-- ── Fonts ──────────────────────────────────────────────────────────── -->
  <fonts count="5">
    <!-- 0: Default (theme color, no explicit color) -->
    <font>
      <sz val="11"/>
      <name val="Calibri"/>
    </font>
    <!-- 1: Input / Assumption — Blue -->
    <font>
      <sz val="11"/>
      <name val="Calibri"/>
      <color rgb="000000FF"/>
    </font>
    <!-- 2: Formula / Computed result — Black (explicit) -->
    <font>
      <sz val="11"/>
      <name val="Calibri"/>
      <color rgb="00000000"/>
    </font>
    <!-- 3: Cross-sheet reference — Green -->
    <font>
      <sz val="11"/>
      <name val="Calibri"/>
      <color rgb="00008000"/>
    </font>
    <!-- 4: Header — Bold Black -->
    <font>
      <b/>
      <sz val="11"/>
      <name val="Calibri"/>
      <color rgb="00000000"/>
    </font>
  </fonts>
  <!-- ── Fills ──────────────────────────────────────────────────────────── -->
  <!-- fills[0] and fills[1] are REQUIRED by OOXML spec — DO NOT REMOVE -->
  <fills count="3">
    <fill>
      <patternFill patternType="none"/>
    </fill>
    <fill>
      <patternFill patternType="gray125"/>
    </fill>
    <!-- 2: Yellow highlight for key assumptions requiring review -->
    <fill>
      <patternFill patternType="solid">
        <fgColor rgb="00FFFF00"/>
        <bgColor indexed="64"/>
      </patternFill>
    </fill>
  </fills>
  <!-- ── Borders ────────────────────────────────────────────────────────── -->
  <borders count="1">
    <!-- 0: No borders (default) -->
    <border>
      <left/>
      <right/>
      <top/>
      <bottom/>
      <diagonal/>
    </border>
  </borders>
  <!-- ── Cell Style Xfs (base styles) ──────────────────────────────────── -->
  <cellStyleXfs count="1">
    <xf numFmtId="0" fontId="0" fillId="0" borderId="0"/>
  </cellStyleXfs>
  <!-- ── Cell Xfs (the actual style slots referenced by <c s="N">) ──────── -->
  <cellXfs count="13">
    <!--  0: Default -->
    <xf numFmtId="0" fontId="0" fillId="0" borderId="0" xfId="0"/>
    <!--  1: Input / Assumption (blue, general format) -->
    <xf numFmtId="0" fontId="1" fillId="0" borderId="0" xfId="0" applyFont="1"/>
    <!--  2: Formula / Computed (black, general format) -->
    <xf numFmtId="0" fontId="2" fillId="0" borderId="0" xfId="0" applyFont="1"/>
    <!--  3: Cross-sheet reference (green, general format) -->
    <xf numFmtId="0" fontId="3" fillId="0" borderId="0" xfId="0" applyFont="1"/>
    <!--  4: Header (bold black) -->
    <xf numFmtId="0" fontId="4" fillId="0" borderId="0" xfId="0" applyFont="1"/>
    <!--  5: Currency input (blue + $#,##0) -->
    <xf numFmtId="164" fontId="1" fillId="0" borderId="0" xfId="0" applyFont="1" applyNumberFormat="1"/>
    <!--  6: Currency formula (black + $#,##0) -->
    <xf numFmtId="164" fontId="2" fillId="0" borderId="0" xfId="0" applyFont="1" applyNumberFormat="1"/>
    <!--  7: Percentage input (blue + 0.0%) -->
    <xf numFmtId="165" fontId="1" fillId="0" borderId="0" xfId="0" applyFont="1" applyNumberFormat="1"/>
    <!--  8: Percentage formula (black + 0.0%) -->
    <xf numFmtId="165" fontId="2" fillId="0" borderId="0" xfId="0" applyFont="1" applyNumberFormat="1"/>
    <!--  9: Integer-with-commas input (blue + #,##0) -->
    <xf numFmtId="167" fontId="1" fillId="0" borderId="0" xfId="0" applyFont="1" applyNumberFormat="1"/>
    <!-- 10: Integer-with-commas formula (black + #,##0) -->
    <xf numFmtId="167" fontId="2" fillId="0" borderId="0" xfId="0" applyFont="1" applyNumberFormat="1"/>
    <!-- 11: Year column input (blue + plain integer "0", no comma) -->
    <xf numFmtId="1" fontId="1" fillId="0" borderId="0" xfId="0" applyFont="1" applyNumberFormat="1"/>
    <!-- 12: Key assumption highlight (blue on yellow — needs human review) -->
    <xf numFmtId="0" fontId="1" fillId="2" borderId="0" xfId="0" applyFont="1" applyFill="1"/>
  </cellXfs>
  <!-- ── Named Cell Styles ─────────────────────────────────────────────── -->
  <cellStyles count="1">
    <cellStyle name="Normal" xfId="0" builtinId="0"/>
  </cellStyles>
</styleSheet>
</file>

<file path=xl/_rels/workbook.xml.rels><?xml version="1.0" encoding="UTF-8" standalone="yes"?>
<!--
  workbook.xml.rels &#8212; Maps each sheet r:id to its worksheet XML file.

  When adding a new sheet:
    - Add: <Relationship Id="rId2" Type="...worksheet" Target="worksheets/sheet2.xml"/>
    - The Id must match the r:id in workbook.xml <sheet> element
-->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  <Relationship Id="rId3"
    Type="http://schemas.openxmlformats.org/officeDocument/2006/relationships/sharedStrings"
    Target="sharedStrings.xml"/>
</Relationships>

</file>

<file path=xl/worksheets/sheet1.xml><?xml version="1.0" encoding="utf-8"?>
<worksheet xmlns="http://schemas.openxmlformats.org/spreadsheetml/2006/main"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>
      <c r="A2" t="inlineStr">
        <is>
          <t>TXN001</t>
        </is>
      </c>
      <c r="B2" t="inlineStr">
        <is>
          <t>2026-07-15</t>
        </is>
      </c>
      <c r="C2" t="inlineStr">
        <is>
          <t>SB-306</t>
        </is>
      </c>
      <c r="D2" t="inlineStr">
        <is>
          <t>LILITH_NOIR_NEON_v1</t>
        </is>
      </c>
      <c r="E2">
        <v>29.99</v>
      </c>
      <c r="F2" t="inlineStr">
        <is>
          <t>Gumroad</t>
        </is>
      </c>
    </row>
    <row r="3" spans="1:6">
      <c r="A3" t="inlineStr">
        <is>
          <t>TXN002</t>
        </is>
      </c>
      <c r="B3" t="inlineStr">
        <is>
          <t>2026-07-15</t>
        </is>
      </c>
      <c r="C3" t="inlineStr">
        <is>
          <t>LIORA_VOSS</t>
        </is>
      </c>
      <c r="D3" t="inlineStr">
        <is>
          <t>LIORA_VOSS_GOLDEN_v1</t>
        </is>
      </c>
      <c r="E3">
        <v>19.99</v>
      </c>
      <c r="F3" t="inlineStr">
        <is>
          <t>Direct</t>
        </is>
      </c>
    </row>
    <row r="4" spans="1:6">
      <c r="A4" t="inlineStr">
        <is>
          <t>TXN003</t>
        </is>
      </c>
      <c r="B4" t="inlineStr">
        <is>
          <t>2026-07-15</t>
        </is>
      </c>
      <c r="C4" t="inlineStr">
        <is>
          <t>SB-306</t>
        </is>
      </c>
      <c r="D4" t="inlineStr">
        <is>
          <t>LILITH_NOIR_NEON_v1</t>
        </is>
      </c>
      <c r="E4">
        <v>29.99</v>
      </c>
      <c r="F4" t="inlineStr">
        <is>
          <t>Gumroad</t>
        </is>
      </c>
    </row>
    <row r="6" spans="1:6">
      <c r="D6" t="s">
        <v>17</v>
      </c>
      <c r="E6">
        <f>SUM(E2:E4)</f>
        <v>79.97</v>
      </c>
    </row>
    <row r="8" spans="1:6">
      <c r="A8" t="s">
        <v>8</v>
      </c>
    </row>
    <row r="9" spans="1:6">
      <c r="A9" t="s">
        <v>9</v>
      </c>
      <c r="B9">
        <f>SUMIF(C2:C4,"SB-306",E2:E4)</f>
        <v>59.98</v>
      </c>
    </row>
    <row r="10" spans="1:6">
      <c r="A10" t="s">
        <v>10</v>
      </c>
      <c r="B10">
        <f>SUMIF(C2:C4,"LIORA_VOSS",E2:E4)</f>
        <v>19.99</v>
      </c>
    </row>
  </sheetData>
</worksheet>
</file>